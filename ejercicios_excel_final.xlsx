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3FC87BB0-6958-428C-8E46-E5BDC638824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strucciones" sheetId="1" r:id="rId1"/>
    <sheet name="Catálogo" sheetId="2" r:id="rId2"/>
    <sheet name="Registro_Venta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G3" i="3"/>
  <c r="G4" i="3"/>
  <c r="G5" i="3"/>
  <c r="G6" i="3"/>
  <c r="G2" i="3"/>
  <c r="F3" i="3"/>
  <c r="F4" i="3"/>
  <c r="F5" i="3"/>
  <c r="F6" i="3"/>
  <c r="F2" i="3"/>
  <c r="E3" i="3"/>
  <c r="E4" i="3"/>
  <c r="E5" i="3"/>
  <c r="E6" i="3"/>
  <c r="E2" i="3"/>
</calcChain>
</file>

<file path=xl/sharedStrings.xml><?xml version="1.0" encoding="utf-8"?>
<sst xmlns="http://schemas.openxmlformats.org/spreadsheetml/2006/main" count="45" uniqueCount="35">
  <si>
    <t>Reto Final - Maestro de Excel</t>
  </si>
  <si>
    <t>¡Llegó el momento de demostrar todo lo aprendido! Combina todas las herramientas en este ejercicio final.</t>
  </si>
  <si>
    <t>Misiones a completar:</t>
  </si>
  <si>
    <t>1. DUPLICADOS: Ve a la pestaña 'Registro_Ventas' y elimina las filas completamente duplicadas.</t>
  </si>
  <si>
    <t>2. BUSCARV: En la columna 'Precio', trae el valor correcto para cada código desde la pestaña 'Catálogo'.</t>
  </si>
  <si>
    <t>3. FÓRMULA BÁSICA: En la columna 'Total', multiplica 'Cantidad' por 'Precio'.</t>
  </si>
  <si>
    <t>4. FUNCIÓN SI: En la columna 'Estatus', escribe una fórmula =SI() que diga 'Meta Superada' si el Total es mayor a 500, o 'Por debajo' si es 500 o menos.</t>
  </si>
  <si>
    <t>5. REPORTE INTERACTIVO: Ve a la pestaña 'Dashboard'. Crea una lista desplegable en la celda B3 con los vendedores: Carlos, Ana, Luis.</t>
  </si>
  <si>
    <t>6. SUMAR.SI: En la celda B4 del Dashboard, calcula el total de ventas del vendedor seleccionado en tu lista.</t>
  </si>
  <si>
    <t>RESPONDE EN EL CHAT:</t>
  </si>
  <si>
    <t>¿Cuál es el monto exacto que te da tu Dashboard si seleccionas a Carlos?</t>
  </si>
  <si>
    <t>Código</t>
  </si>
  <si>
    <t>Producto</t>
  </si>
  <si>
    <t>Precio</t>
  </si>
  <si>
    <t>PROD-1</t>
  </si>
  <si>
    <t>Silla Gamer</t>
  </si>
  <si>
    <t>PROD-2</t>
  </si>
  <si>
    <t>Escritorio</t>
  </si>
  <si>
    <t>PROD-3</t>
  </si>
  <si>
    <t>Lámpara</t>
  </si>
  <si>
    <t>Transacción</t>
  </si>
  <si>
    <t>Vendedor</t>
  </si>
  <si>
    <t>Cantidad</t>
  </si>
  <si>
    <t>Total</t>
  </si>
  <si>
    <t>Estatus</t>
  </si>
  <si>
    <t>T-100</t>
  </si>
  <si>
    <t>Carlos</t>
  </si>
  <si>
    <t>T-101</t>
  </si>
  <si>
    <t>Ana</t>
  </si>
  <si>
    <t>T-102</t>
  </si>
  <si>
    <t>Luis</t>
  </si>
  <si>
    <t>T-103</t>
  </si>
  <si>
    <t>T-104</t>
  </si>
  <si>
    <t>Vendedor:</t>
  </si>
  <si>
    <t>Ventas 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</si>
</sst>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  <fill>
      <patternFill patternType="solid">
        <fgColor rgb="FFE0FFE0"/>
        <bgColor rgb="FFE0FFE0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/>
    </xf>
    <xf numFmtId="0" fontId="0" fillId="3" borderId="0" xfId="0" applyFill="1"/>
    <xf numFmtId="0" fontId="4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baseColWidth="10" defaultColWidth="8.88671875" defaultRowHeight="14.4" x14ac:dyDescent="0.3"/>
  <cols>
    <col min="1" max="1" width="120" customWidth="1"/>
  </cols>
  <sheetData>
    <row r="1" spans="1:1" ht="21" x14ac:dyDescent="0.4">
      <c r="A1" s="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8.88671875" defaultRowHeight="14.4" x14ac:dyDescent="0.3"/>
  <cols>
    <col min="1" max="7" width="15" customWidth="1"/>
  </cols>
  <sheetData>
    <row r="1" spans="1:3" x14ac:dyDescent="0.3">
      <c r="A1" s="3" t="s">
        <v>11</v>
      </c>
      <c r="B1" s="3" t="s">
        <v>12</v>
      </c>
      <c r="C1" s="3" t="s">
        <v>13</v>
      </c>
    </row>
    <row r="2" spans="1:3" x14ac:dyDescent="0.3">
      <c r="A2" t="s">
        <v>14</v>
      </c>
      <c r="B2" t="s">
        <v>15</v>
      </c>
      <c r="C2">
        <v>250</v>
      </c>
    </row>
    <row r="3" spans="1:3" x14ac:dyDescent="0.3">
      <c r="A3" t="s">
        <v>16</v>
      </c>
      <c r="B3" t="s">
        <v>17</v>
      </c>
      <c r="C3">
        <v>400</v>
      </c>
    </row>
    <row r="4" spans="1:3" x14ac:dyDescent="0.3">
      <c r="A4" t="s">
        <v>18</v>
      </c>
      <c r="B4" t="s">
        <v>19</v>
      </c>
      <c r="C4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7" width="15" customWidth="1"/>
  </cols>
  <sheetData>
    <row r="1" spans="1:8" x14ac:dyDescent="0.3">
      <c r="A1" s="3" t="s">
        <v>20</v>
      </c>
      <c r="B1" s="3" t="s">
        <v>21</v>
      </c>
      <c r="C1" s="3" t="s">
        <v>11</v>
      </c>
      <c r="D1" s="3" t="s">
        <v>22</v>
      </c>
      <c r="E1" s="3" t="s">
        <v>13</v>
      </c>
      <c r="F1" s="3" t="s">
        <v>23</v>
      </c>
      <c r="G1" s="3" t="s">
        <v>24</v>
      </c>
    </row>
    <row r="2" spans="1:8" x14ac:dyDescent="0.3">
      <c r="A2" t="s">
        <v>25</v>
      </c>
      <c r="B2" t="s">
        <v>26</v>
      </c>
      <c r="C2" t="s">
        <v>14</v>
      </c>
      <c r="D2">
        <v>3</v>
      </c>
      <c r="E2">
        <f>VLOOKUP(Registro_Ventas!C2,Catálogo!$A$2:$C$4,3,FALSE)</f>
        <v>250</v>
      </c>
      <c r="F2">
        <f>D2*E2</f>
        <v>750</v>
      </c>
      <c r="G2" t="str">
        <f>IF(F2&gt;500,"Meta Superada","Por debajo")</f>
        <v>Meta Superada</v>
      </c>
    </row>
    <row r="3" spans="1:8" x14ac:dyDescent="0.3">
      <c r="A3" t="s">
        <v>27</v>
      </c>
      <c r="B3" t="s">
        <v>28</v>
      </c>
      <c r="C3" t="s">
        <v>16</v>
      </c>
      <c r="D3">
        <v>1</v>
      </c>
      <c r="E3">
        <f>VLOOKUP(Registro_Ventas!C3,Catálogo!$A$2:$C$4,3,FALSE)</f>
        <v>400</v>
      </c>
      <c r="F3">
        <f t="shared" ref="F3:F6" si="0">D3*E3</f>
        <v>400</v>
      </c>
      <c r="G3" t="str">
        <f t="shared" ref="G3:G6" si="1">IF(F3&gt;500,"Meta Superada","Por debajo")</f>
        <v>Por debajo</v>
      </c>
    </row>
    <row r="4" spans="1:8" x14ac:dyDescent="0.3">
      <c r="A4" t="s">
        <v>29</v>
      </c>
      <c r="B4" t="s">
        <v>30</v>
      </c>
      <c r="C4" t="s">
        <v>18</v>
      </c>
      <c r="D4">
        <v>15</v>
      </c>
      <c r="E4">
        <f>VLOOKUP(Registro_Ventas!C4,Catálogo!$A$2:$C$4,3,FALSE)</f>
        <v>50</v>
      </c>
      <c r="F4">
        <f t="shared" si="0"/>
        <v>750</v>
      </c>
      <c r="G4" t="str">
        <f t="shared" si="1"/>
        <v>Meta Superada</v>
      </c>
    </row>
    <row r="5" spans="1:8" x14ac:dyDescent="0.3">
      <c r="A5" t="s">
        <v>31</v>
      </c>
      <c r="B5" t="s">
        <v>26</v>
      </c>
      <c r="C5" t="s">
        <v>18</v>
      </c>
      <c r="D5">
        <v>4</v>
      </c>
      <c r="E5">
        <f>VLOOKUP(Registro_Ventas!C5,Catálogo!$A$2:$C$4,3,FALSE)</f>
        <v>50</v>
      </c>
      <c r="F5">
        <f t="shared" si="0"/>
        <v>200</v>
      </c>
      <c r="G5" t="str">
        <f t="shared" si="1"/>
        <v>Por debajo</v>
      </c>
      <c r="H5" s="6"/>
    </row>
    <row r="6" spans="1:8" x14ac:dyDescent="0.3">
      <c r="A6" t="s">
        <v>32</v>
      </c>
      <c r="B6" t="s">
        <v>28</v>
      </c>
      <c r="C6" t="s">
        <v>14</v>
      </c>
      <c r="D6">
        <v>2</v>
      </c>
      <c r="E6">
        <f>VLOOKUP(Registro_Ventas!C6,Catálogo!$A$2:$C$4,3,FALSE)</f>
        <v>250</v>
      </c>
      <c r="F6">
        <f t="shared" si="0"/>
        <v>500</v>
      </c>
      <c r="G6" t="str">
        <f t="shared" si="1"/>
        <v>Por debajo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4"/>
  <sheetViews>
    <sheetView workbookViewId="0">
      <selection activeCell="B3" sqref="B3"/>
    </sheetView>
  </sheetViews>
  <sheetFormatPr baseColWidth="10" defaultColWidth="8.88671875" defaultRowHeight="14.4" x14ac:dyDescent="0.3"/>
  <cols>
    <col min="1" max="2" width="20" customWidth="1"/>
  </cols>
  <sheetData>
    <row r="3" spans="1:2" x14ac:dyDescent="0.3">
      <c r="A3" s="2" t="s">
        <v>33</v>
      </c>
      <c r="B3" s="5" t="s">
        <v>26</v>
      </c>
    </row>
    <row r="4" spans="1:2" x14ac:dyDescent="0.3">
      <c r="A4" s="2" t="s">
        <v>34</v>
      </c>
      <c r="B4" s="4">
        <f>SUMIF(Registro_Ventas!B2:B6,Dashboard!B3,Registro_Ventas!F2:F6)</f>
        <v>950</v>
      </c>
    </row>
  </sheetData>
  <dataValidations count="1">
    <dataValidation type="list" allowBlank="1" showInputMessage="1" showErrorMessage="1" sqref="B3" xr:uid="{8A39D0BB-F70A-4ECD-BD45-09C9E1C5928B}">
      <formula1>"Carlos,Ana,Luis"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Catálogo</vt:lpstr>
      <vt:lpstr>Registro_Ventas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jorgeantonio felixrascon</cp:lastModifiedBy>
  <dcterms:created xsi:type="dcterms:W3CDTF">2026-10-21T23:02:05Z</dcterms:created>
  <dcterms:modified xsi:type="dcterms:W3CDTF">2026-10-21T23:57:38Z</dcterms:modified>
</cp:coreProperties>
</file>